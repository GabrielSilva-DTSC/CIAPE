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_Consolidada" sheetId="1" state="visible" r:id="rId3"/>
    <sheet name="Resumo_Vagas" sheetId="2" state="visible" r:id="rId4"/>
    <sheet name="Fontes_e_Metodologi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<sst xmlns="http://schemas.openxmlformats.org/spreadsheetml/2006/main" count="458" uniqueCount="103">
  <si>
    <t xml:space="preserve">fato_id</t>
  </si>
  <si>
    <t xml:space="preserve">ies_nome</t>
  </si>
  <si>
    <t xml:space="preserve">campus_codigo</t>
  </si>
  <si>
    <t xml:space="preserve">edital_numero</t>
  </si>
  <si>
    <t xml:space="preserve">ano_vigencia</t>
  </si>
  <si>
    <t xml:space="preserve">fonte_dado</t>
  </si>
  <si>
    <t xml:space="preserve">publico_alvo</t>
  </si>
  <si>
    <t xml:space="preserve">eixo_pnaes</t>
  </si>
  <si>
    <t xml:space="preserve">modalidade_apoio</t>
  </si>
  <si>
    <t xml:space="preserve">valor_mensal_brl</t>
  </si>
  <si>
    <t xml:space="preserve">infraestrutura_disponivel</t>
  </si>
  <si>
    <t xml:space="preserve">total_vagas_ofertadas</t>
  </si>
  <si>
    <t xml:space="preserve">prazo_inscricao_dias</t>
  </si>
  <si>
    <t xml:space="preserve">criterios_elegibilidade</t>
  </si>
  <si>
    <t xml:space="preserve">UFPB</t>
  </si>
  <si>
    <t xml:space="preserve">Campus IV - Litoral Norte (Mamanguape e Rio Tinto)</t>
  </si>
  <si>
    <t xml:space="preserve">11/2026 (Retificado 1)</t>
  </si>
  <si>
    <t xml:space="preserve">Base CIAPE (db/csv/json)</t>
  </si>
  <si>
    <t xml:space="preserve">Unificado (ingressantes e veteranos)</t>
  </si>
  <si>
    <t xml:space="preserve">Alimentação</t>
  </si>
  <si>
    <t xml:space="preserve">Serviço Direto</t>
  </si>
  <si>
    <t xml:space="preserve">Sim</t>
  </si>
  <si>
    <t xml:space="preserve">Renda familiar per capita &lt;= 1 SM; RU ativo nas unidades de Rio Tinto (15 vagas) e Mamanguape (15 vagas)</t>
  </si>
  <si>
    <t xml:space="preserve">Moradia</t>
  </si>
  <si>
    <t xml:space="preserve">Auxílio Financeiro (Auxílio Moradia)</t>
  </si>
  <si>
    <t xml:space="preserve">Não</t>
  </si>
  <si>
    <t xml:space="preserve">Núcleo familiar fora do perímetro urbano de Mamanguape/Rio Tinto; sem imóvel próprio/financiado na cidade sede</t>
  </si>
  <si>
    <t xml:space="preserve">Vaga Física - Infraestrutura (Residência Universitária)</t>
  </si>
  <si>
    <t xml:space="preserve">2 vagas masculinas + 2 femininas; parcela única inicial de R$500,00; mesmos requisitos geográficos da Moradia</t>
  </si>
  <si>
    <t xml:space="preserve">Transporte</t>
  </si>
  <si>
    <t xml:space="preserve">Auxílio Financeiro (Faixa 1)</t>
  </si>
  <si>
    <t xml:space="preserve">Residência em Mamanguape, Rio Tinto, Baía da Traição ou Marcação</t>
  </si>
  <si>
    <t xml:space="preserve">Auxílio Financeiro (Faixa 2)</t>
  </si>
  <si>
    <t xml:space="preserve">Municípios da Faixa 2 (ex.: Capim, Cuité de Mamanguape, Jacaraú)</t>
  </si>
  <si>
    <t xml:space="preserve">Auxílio Financeiro (Faixa 3)</t>
  </si>
  <si>
    <t xml:space="preserve">Municípios da Faixa 3 (ex.: João Pessoa, Bayeux, Cabedelo, Guarabira)</t>
  </si>
  <si>
    <t xml:space="preserve">Campus I - João Pessoa e Santa Rita</t>
  </si>
  <si>
    <t xml:space="preserve">12/2025 (Retificado 2)</t>
  </si>
  <si>
    <t xml:space="preserve">Serviço Direto (Restaurante Universitário)</t>
  </si>
  <si>
    <t xml:space="preserve">Não matriculado em cursos sediados em Mangabeira ou Santa Rita</t>
  </si>
  <si>
    <t xml:space="preserve">Auxílio Financeiro (Auxílio Alimentação)</t>
  </si>
  <si>
    <t xml:space="preserve">Exclusivo para matriculados em Mangabeira ou Santa Rita (unidades sem RU)</t>
  </si>
  <si>
    <t xml:space="preserve">Núcleo familiar fora do perímetro urbano de João Pessoa, Santa Rita, Bayeux e Cabedelo</t>
  </si>
  <si>
    <t xml:space="preserve">Vaga Física - Infraestrutura (RUMF - Masculina)</t>
  </si>
  <si>
    <t xml:space="preserve">Parcela única inicial de R$400,00; mesmos requisitos geográficos da Moradia</t>
  </si>
  <si>
    <t xml:space="preserve">Vaga Física - Infraestrutura (RUFET - Feminina)</t>
  </si>
  <si>
    <t xml:space="preserve">Uso exclusivo feminino; parcela única inicial de R$400,00</t>
  </si>
  <si>
    <t xml:space="preserve">Residência no município da sede do curso (João Pessoa ou Santa Rita)</t>
  </si>
  <si>
    <t xml:space="preserve">Municípios da Faixa 2 (ex.: Bayeux, Cabedelo, Conde)</t>
  </si>
  <si>
    <t xml:space="preserve">Municípios da Faixa 3 (ex.: Mamanguape, Rio Tinto, Sapé)</t>
  </si>
  <si>
    <t xml:space="preserve">Campus II - Areia</t>
  </si>
  <si>
    <t xml:space="preserve">13/2025 (Retificado 1)</t>
  </si>
  <si>
    <t xml:space="preserve">Matriculado em qualquer unidade acadêmica do Campus II</t>
  </si>
  <si>
    <t xml:space="preserve">Núcleo familiar fora do perímetro urbano de Areia</t>
  </si>
  <si>
    <t xml:space="preserve">3 vagas masculinas + 2 femininas; parcela única inicial de R$400,00</t>
  </si>
  <si>
    <t xml:space="preserve">Residência no município de Areia</t>
  </si>
  <si>
    <t xml:space="preserve">Municípios da Faixa 2 (ex.: Alagoa Grande, Esperança, Remígio)</t>
  </si>
  <si>
    <t xml:space="preserve">Municípios da Faixa 3 (ex.: Campina Grande, Guarabira, Sapé)</t>
  </si>
  <si>
    <t xml:space="preserve">Campus III - Bananeiras</t>
  </si>
  <si>
    <t xml:space="preserve">14/2025 (Retificado 2)</t>
  </si>
  <si>
    <t xml:space="preserve">PDF Edital PRAPE 14/2025 (Retificado 2)</t>
  </si>
  <si>
    <t xml:space="preserve">Estar matriculado em qualquer unidade acadêmica do Campus III</t>
  </si>
  <si>
    <t xml:space="preserve">Núcleo familiar fora do perímetro urbano de Bananeiras ou Solânea; sem imóvel próprio/financiado na cidade sede</t>
  </si>
  <si>
    <t xml:space="preserve">1 vaga masculina + 1 feminina; parcela única inicial de R$400,00; mesmos requisitos geográficos da Moradia</t>
  </si>
  <si>
    <t xml:space="preserve">Residência em Bananeiras, Belém, Borborema ou Solânea</t>
  </si>
  <si>
    <t xml:space="preserve">Municípios da Faixa 2 (ex.: Arara, Dona Inês, Guarabira, Pirpirituba)</t>
  </si>
  <si>
    <t xml:space="preserve">Municípios da Faixa 3 (ex.: Alagoa Grande, Areia, Sapé, Remígio)</t>
  </si>
  <si>
    <t xml:space="preserve">Creche/Pré-escolar</t>
  </si>
  <si>
    <t xml:space="preserve">Auxílio Financeiro (Auxílio Pré-escolar)</t>
  </si>
  <si>
    <t xml:space="preserve">Comprovação de coabitação com filho menor de 6 anos (Declaração Anexo I + certidão de nascimento)</t>
  </si>
  <si>
    <t xml:space="preserve">15/2025 (Retificado 1)</t>
  </si>
  <si>
    <t xml:space="preserve">PDF Edital PRAPE 15/2025 (Retificado 1)</t>
  </si>
  <si>
    <t xml:space="preserve">Serviço Direto (Restaurante Universitário - Rio Tinto)</t>
  </si>
  <si>
    <t xml:space="preserve">Matriculado em qualquer unidade acadêmica do Campus IV</t>
  </si>
  <si>
    <t xml:space="preserve">Serviço Direto (Restaurante Universitário - Mamanguape)</t>
  </si>
  <si>
    <t xml:space="preserve">Núcleo familiar fora do perímetro urbano de Mamanguape ou Rio Tinto</t>
  </si>
  <si>
    <t xml:space="preserve">08/2026 (Retificado 1)</t>
  </si>
  <si>
    <t xml:space="preserve">PDF Edital PRAPE 08/2026 (Retificado 1)</t>
  </si>
  <si>
    <t xml:space="preserve">Núcleo familiar fora do perímetro urbano de João Pessoa, Santa Rita, Bayeux e Cabedelo; sem imóvel próprio/financiado na cidade sede</t>
  </si>
  <si>
    <t xml:space="preserve">Parcela única inicial de R$500,00; mesmos requisitos geográficos da Moradia</t>
  </si>
  <si>
    <t xml:space="preserve">Uso exclusivo feminino; parcela única inicial de R$500,00</t>
  </si>
  <si>
    <t xml:space="preserve">Municípios da Faixa 3 (ex.: Mamanguape, Rio Tinto, Sapé, Alhandra, Caaporã)</t>
  </si>
  <si>
    <t xml:space="preserve">Campus</t>
  </si>
  <si>
    <t xml:space="preserve">Edital</t>
  </si>
  <si>
    <t xml:space="preserve">Total Geral</t>
  </si>
  <si>
    <t xml:space="preserve">TOTAL GERAL (todos os campi)</t>
  </si>
  <si>
    <t xml:space="preserve">Este arquivo consolida os dados de auxílios PNAES/PRAPE/UFPB por campus e edital.</t>
  </si>
  <si>
    <t xml:space="preserve">Fonte de dados</t>
  </si>
  <si>
    <t xml:space="preserve">Descrição</t>
  </si>
  <si>
    <t xml:space="preserve">Arquivos originais</t>
  </si>
  <si>
    <t xml:space="preserve">Base estruturada fornecida (ciape.db, modelo estrela: Dim_Instituicao, Dim_Campus, Dim_Tempo, Fato_Permanencia). Cobre Campus I (12/2025), Campus II (13/2025) e Campus IV (11/2026).</t>
  </si>
  <si>
    <t xml:space="preserve">ciape.db / ciape_dados_pnaes.csv / ciape_dados_pnaes.json</t>
  </si>
  <si>
    <t xml:space="preserve">Edital completo lido e extraído manualmente. Cobre Campus III - Bananeiras.</t>
  </si>
  <si>
    <t xml:space="preserve">RETIFICADO-2-Edital-14-2025-CAMPUS-III_Selecao-auxilios-2025_1.pdf</t>
  </si>
  <si>
    <t xml:space="preserve">Edital completo lido e extraído manualmente. Cobre Campus IV - Litoral Norte, versão 2025 (anterior à retificação 11/2026 já presente na base CIAPE).</t>
  </si>
  <si>
    <t xml:space="preserve">RETIFICADO-1-Edital-15-2025-CAMPUS-IV_Selecao-auxilios-2025_1.pdf</t>
  </si>
  <si>
    <t xml:space="preserve">Edital completo lido e extraído manualmente. Cobre Campus I - João Pessoa e Santa Rita, versão 2026 (sucessor do Edital 12/2025 já presente na base CIAPE - citado no próprio edital como referência de aproveitamento de pontuação).</t>
  </si>
  <si>
    <t xml:space="preserve">retificado-1-Edital-08-2026-CAMPUS-I_Selecao-auxilios-2026_1.pdf</t>
  </si>
  <si>
    <t xml:space="preserve">Observações importantes:</t>
  </si>
  <si>
    <t xml:space="preserve">1) O Campus IV possui DOIS registros distintos: Edital 15/2025 (PDF) e Edital 11/2026 (base CIAPE). Entre as duas edições o RU passou de 25 para 30 vagas totais, o Auxílio Moradia de 15 para 20 vagas, e os valores de Transporte das Faixas 1 e 2 aumentaram (R$108→R$125 e R$216→R$250).</t>
  </si>
  <si>
    <t xml:space="preserve">2) O Campus I agora também possui DOIS registros: Edital 12/2025 (base CIAPE) e Edital 08/2026 (PDF, que cita e sucede o 12/2025). Principais mudanças: Auxílio Alimentação 15→20 vagas; Residência Universitária RUMF (masc.) 2→4 vagas e R$400→R$500, RUFET (fem.) 3→6 vagas e R$580→R$680; parcela única inicial R$400→R$500; Transporte Faixa 1 mantido em vagas (30) mas valor R$108→R$125, Faixa 2 15→20 vagas e R$216→R$250, Faixa 3 5→10 vagas (valor R$586 mantido); e o Auxílio Pré-escolar (5 vagas, R$250) passou a constar explicitamente - não havia registro desse eixo para o Campus I na base CIAPE 2025, o que pode refletir uma lacuna na extração original dos dados, e não necessariamente a ausência do auxílio naquele edital.</t>
  </si>
  <si>
    <t xml:space="preserve">3) Trate registros do mesmo campus com números de edital diferentes como pontos no tempo (retificações/reedições anuais), não como duplicatas a serem removidas.</t>
  </si>
  <si>
    <t xml:space="preserve">Este arquivo é atualizado automaticamente sempre que um novo edital é enviado para leitura.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</si>
</sst>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8"/>
    <col collapsed="false" customWidth="true" hidden="false" outlineLevel="0" max="3" min="3" style="1" width="32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6" min="6" style="1" width="26"/>
    <col collapsed="false" customWidth="true" hidden="false" outlineLevel="0" max="7" min="7" style="1" width="30"/>
    <col collapsed="false" customWidth="true" hidden="false" outlineLevel="0" max="8" min="8" style="1" width="16"/>
    <col collapsed="false" customWidth="true" hidden="false" outlineLevel="0" max="9" min="9" style="1" width="42"/>
    <col collapsed="false" customWidth="true" hidden="false" outlineLevel="0" max="11" min="10" style="1" width="14"/>
    <col collapsed="false" customWidth="true" hidden="false" outlineLevel="0" max="13" min="12" style="1" width="10"/>
    <col collapsed="false" customWidth="true" hidden="false" outlineLevel="0" max="14" min="14" style="1" width="55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true" outlineLevel="0" collapsed="false">
      <c r="A2" s="3" t="n">
        <v>1</v>
      </c>
      <c r="B2" s="3" t="s">
        <v>14</v>
      </c>
      <c r="C2" s="3" t="s">
        <v>15</v>
      </c>
      <c r="D2" s="3" t="s">
        <v>16</v>
      </c>
      <c r="E2" s="3" t="n">
        <v>2026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20</v>
      </c>
      <c r="K2" s="3" t="s">
        <v>21</v>
      </c>
      <c r="L2" s="3" t="n">
        <v>30</v>
      </c>
      <c r="M2" s="3" t="n">
        <v>19</v>
      </c>
      <c r="N2" s="3" t="s">
        <v>22</v>
      </c>
    </row>
    <row r="3" customFormat="false" ht="15" hidden="false" customHeight="true" outlineLevel="0" collapsed="false">
      <c r="A3" s="3" t="n">
        <v>2</v>
      </c>
      <c r="B3" s="3" t="s">
        <v>14</v>
      </c>
      <c r="C3" s="3" t="s">
        <v>15</v>
      </c>
      <c r="D3" s="3" t="s">
        <v>16</v>
      </c>
      <c r="E3" s="3" t="n">
        <v>2026</v>
      </c>
      <c r="F3" s="3" t="s">
        <v>17</v>
      </c>
      <c r="G3" s="3" t="s">
        <v>18</v>
      </c>
      <c r="H3" s="3" t="s">
        <v>23</v>
      </c>
      <c r="I3" s="3" t="s">
        <v>24</v>
      </c>
      <c r="J3" s="3" t="n">
        <v>700</v>
      </c>
      <c r="K3" s="3" t="s">
        <v>25</v>
      </c>
      <c r="L3" s="3" t="n">
        <v>20</v>
      </c>
      <c r="M3" s="3" t="n">
        <v>19</v>
      </c>
      <c r="N3" s="3" t="s">
        <v>26</v>
      </c>
    </row>
    <row r="4" customFormat="false" ht="15" hidden="false" customHeight="true" outlineLevel="0" collapsed="false">
      <c r="A4" s="3" t="n">
        <v>3</v>
      </c>
      <c r="B4" s="3" t="s">
        <v>14</v>
      </c>
      <c r="C4" s="3" t="s">
        <v>15</v>
      </c>
      <c r="D4" s="3" t="s">
        <v>16</v>
      </c>
      <c r="E4" s="3" t="n">
        <v>2026</v>
      </c>
      <c r="F4" s="3" t="s">
        <v>17</v>
      </c>
      <c r="G4" s="3" t="s">
        <v>18</v>
      </c>
      <c r="H4" s="3" t="s">
        <v>23</v>
      </c>
      <c r="I4" s="3" t="s">
        <v>27</v>
      </c>
      <c r="J4" s="3" t="n">
        <v>680</v>
      </c>
      <c r="K4" s="3" t="s">
        <v>21</v>
      </c>
      <c r="L4" s="3" t="n">
        <v>4</v>
      </c>
      <c r="M4" s="3" t="n">
        <v>19</v>
      </c>
      <c r="N4" s="3" t="s">
        <v>28</v>
      </c>
    </row>
    <row r="5" customFormat="false" ht="15" hidden="false" customHeight="true" outlineLevel="0" collapsed="false">
      <c r="A5" s="3" t="n">
        <v>4</v>
      </c>
      <c r="B5" s="3" t="s">
        <v>14</v>
      </c>
      <c r="C5" s="3" t="s">
        <v>15</v>
      </c>
      <c r="D5" s="3" t="s">
        <v>16</v>
      </c>
      <c r="E5" s="3" t="n">
        <v>2026</v>
      </c>
      <c r="F5" s="3" t="s">
        <v>17</v>
      </c>
      <c r="G5" s="3" t="s">
        <v>18</v>
      </c>
      <c r="H5" s="3" t="s">
        <v>29</v>
      </c>
      <c r="I5" s="3" t="s">
        <v>30</v>
      </c>
      <c r="J5" s="3" t="n">
        <v>125</v>
      </c>
      <c r="K5" s="3" t="s">
        <v>25</v>
      </c>
      <c r="L5" s="3" t="n">
        <v>15</v>
      </c>
      <c r="M5" s="3" t="n">
        <v>19</v>
      </c>
      <c r="N5" s="3" t="s">
        <v>31</v>
      </c>
    </row>
    <row r="6" customFormat="false" ht="15" hidden="false" customHeight="true" outlineLevel="0" collapsed="false">
      <c r="A6" s="3" t="n">
        <v>5</v>
      </c>
      <c r="B6" s="3" t="s">
        <v>14</v>
      </c>
      <c r="C6" s="3" t="s">
        <v>15</v>
      </c>
      <c r="D6" s="3" t="s">
        <v>16</v>
      </c>
      <c r="E6" s="3" t="n">
        <v>2026</v>
      </c>
      <c r="F6" s="3" t="s">
        <v>17</v>
      </c>
      <c r="G6" s="3" t="s">
        <v>18</v>
      </c>
      <c r="H6" s="3" t="s">
        <v>29</v>
      </c>
      <c r="I6" s="3" t="s">
        <v>32</v>
      </c>
      <c r="J6" s="3" t="n">
        <v>250</v>
      </c>
      <c r="K6" s="3" t="s">
        <v>25</v>
      </c>
      <c r="L6" s="3" t="n">
        <v>10</v>
      </c>
      <c r="M6" s="3" t="n">
        <v>19</v>
      </c>
      <c r="N6" s="3" t="s">
        <v>33</v>
      </c>
    </row>
    <row r="7" customFormat="false" ht="15" hidden="false" customHeight="true" outlineLevel="0" collapsed="false">
      <c r="A7" s="3" t="n">
        <v>6</v>
      </c>
      <c r="B7" s="3" t="s">
        <v>14</v>
      </c>
      <c r="C7" s="3" t="s">
        <v>15</v>
      </c>
      <c r="D7" s="3" t="s">
        <v>16</v>
      </c>
      <c r="E7" s="3" t="n">
        <v>2026</v>
      </c>
      <c r="F7" s="3" t="s">
        <v>17</v>
      </c>
      <c r="G7" s="3" t="s">
        <v>18</v>
      </c>
      <c r="H7" s="3" t="s">
        <v>29</v>
      </c>
      <c r="I7" s="3" t="s">
        <v>34</v>
      </c>
      <c r="J7" s="3" t="n">
        <v>586</v>
      </c>
      <c r="K7" s="3" t="s">
        <v>25</v>
      </c>
      <c r="L7" s="3" t="n">
        <v>5</v>
      </c>
      <c r="M7" s="3" t="n">
        <v>19</v>
      </c>
      <c r="N7" s="3" t="s">
        <v>35</v>
      </c>
    </row>
    <row r="8" customFormat="false" ht="15" hidden="false" customHeight="true" outlineLevel="0" collapsed="false">
      <c r="A8" s="3" t="n">
        <v>7</v>
      </c>
      <c r="B8" s="3" t="s">
        <v>14</v>
      </c>
      <c r="C8" s="3" t="s">
        <v>36</v>
      </c>
      <c r="D8" s="3" t="s">
        <v>37</v>
      </c>
      <c r="E8" s="3" t="n">
        <v>2025</v>
      </c>
      <c r="F8" s="3" t="s">
        <v>17</v>
      </c>
      <c r="G8" s="3" t="s">
        <v>18</v>
      </c>
      <c r="H8" s="3" t="s">
        <v>19</v>
      </c>
      <c r="I8" s="3" t="s">
        <v>38</v>
      </c>
      <c r="J8" s="3" t="s">
        <v>20</v>
      </c>
      <c r="K8" s="3" t="s">
        <v>21</v>
      </c>
      <c r="L8" s="3" t="n">
        <v>100</v>
      </c>
      <c r="M8" s="3" t="n">
        <v>34</v>
      </c>
      <c r="N8" s="3" t="s">
        <v>39</v>
      </c>
    </row>
    <row r="9" customFormat="false" ht="15" hidden="false" customHeight="true" outlineLevel="0" collapsed="false">
      <c r="A9" s="3" t="n">
        <v>8</v>
      </c>
      <c r="B9" s="3" t="s">
        <v>14</v>
      </c>
      <c r="C9" s="3" t="s">
        <v>36</v>
      </c>
      <c r="D9" s="3" t="s">
        <v>37</v>
      </c>
      <c r="E9" s="3" t="n">
        <v>2025</v>
      </c>
      <c r="F9" s="3" t="s">
        <v>17</v>
      </c>
      <c r="G9" s="3" t="s">
        <v>18</v>
      </c>
      <c r="H9" s="3" t="s">
        <v>19</v>
      </c>
      <c r="I9" s="3" t="s">
        <v>40</v>
      </c>
      <c r="J9" s="3" t="n">
        <v>360</v>
      </c>
      <c r="K9" s="3" t="s">
        <v>25</v>
      </c>
      <c r="L9" s="3" t="n">
        <v>15</v>
      </c>
      <c r="M9" s="3" t="n">
        <v>34</v>
      </c>
      <c r="N9" s="3" t="s">
        <v>41</v>
      </c>
    </row>
    <row r="10" customFormat="false" ht="15" hidden="false" customHeight="true" outlineLevel="0" collapsed="false">
      <c r="A10" s="3" t="n">
        <v>9</v>
      </c>
      <c r="B10" s="3" t="s">
        <v>14</v>
      </c>
      <c r="C10" s="3" t="s">
        <v>36</v>
      </c>
      <c r="D10" s="3" t="s">
        <v>37</v>
      </c>
      <c r="E10" s="3" t="n">
        <v>2025</v>
      </c>
      <c r="F10" s="3" t="s">
        <v>17</v>
      </c>
      <c r="G10" s="3" t="s">
        <v>18</v>
      </c>
      <c r="H10" s="3" t="s">
        <v>23</v>
      </c>
      <c r="I10" s="3" t="s">
        <v>24</v>
      </c>
      <c r="J10" s="3" t="n">
        <v>700</v>
      </c>
      <c r="K10" s="3" t="s">
        <v>25</v>
      </c>
      <c r="L10" s="3" t="n">
        <v>50</v>
      </c>
      <c r="M10" s="3" t="n">
        <v>34</v>
      </c>
      <c r="N10" s="3" t="s">
        <v>42</v>
      </c>
    </row>
    <row r="11" customFormat="false" ht="15" hidden="false" customHeight="true" outlineLevel="0" collapsed="false">
      <c r="A11" s="3" t="n">
        <v>10</v>
      </c>
      <c r="B11" s="3" t="s">
        <v>14</v>
      </c>
      <c r="C11" s="3" t="s">
        <v>36</v>
      </c>
      <c r="D11" s="3" t="s">
        <v>37</v>
      </c>
      <c r="E11" s="3" t="n">
        <v>2025</v>
      </c>
      <c r="F11" s="3" t="s">
        <v>17</v>
      </c>
      <c r="G11" s="3" t="s">
        <v>18</v>
      </c>
      <c r="H11" s="3" t="s">
        <v>23</v>
      </c>
      <c r="I11" s="3" t="s">
        <v>43</v>
      </c>
      <c r="J11" s="3" t="n">
        <v>400</v>
      </c>
      <c r="K11" s="3" t="s">
        <v>21</v>
      </c>
      <c r="L11" s="3" t="n">
        <v>2</v>
      </c>
      <c r="M11" s="3" t="n">
        <v>34</v>
      </c>
      <c r="N11" s="3" t="s">
        <v>44</v>
      </c>
    </row>
    <row r="12" customFormat="false" ht="15" hidden="false" customHeight="true" outlineLevel="0" collapsed="false">
      <c r="A12" s="3" t="n">
        <v>11</v>
      </c>
      <c r="B12" s="3" t="s">
        <v>14</v>
      </c>
      <c r="C12" s="3" t="s">
        <v>36</v>
      </c>
      <c r="D12" s="3" t="s">
        <v>37</v>
      </c>
      <c r="E12" s="3" t="n">
        <v>2025</v>
      </c>
      <c r="F12" s="3" t="s">
        <v>17</v>
      </c>
      <c r="G12" s="3" t="s">
        <v>18</v>
      </c>
      <c r="H12" s="3" t="s">
        <v>23</v>
      </c>
      <c r="I12" s="3" t="s">
        <v>45</v>
      </c>
      <c r="J12" s="3" t="n">
        <v>580</v>
      </c>
      <c r="K12" s="3" t="s">
        <v>21</v>
      </c>
      <c r="L12" s="3" t="n">
        <v>3</v>
      </c>
      <c r="M12" s="3" t="n">
        <v>34</v>
      </c>
      <c r="N12" s="3" t="s">
        <v>46</v>
      </c>
    </row>
    <row r="13" customFormat="false" ht="15" hidden="false" customHeight="true" outlineLevel="0" collapsed="false">
      <c r="A13" s="3" t="n">
        <v>12</v>
      </c>
      <c r="B13" s="3" t="s">
        <v>14</v>
      </c>
      <c r="C13" s="3" t="s">
        <v>36</v>
      </c>
      <c r="D13" s="3" t="s">
        <v>37</v>
      </c>
      <c r="E13" s="3" t="n">
        <v>2025</v>
      </c>
      <c r="F13" s="3" t="s">
        <v>17</v>
      </c>
      <c r="G13" s="3" t="s">
        <v>18</v>
      </c>
      <c r="H13" s="3" t="s">
        <v>29</v>
      </c>
      <c r="I13" s="3" t="s">
        <v>30</v>
      </c>
      <c r="J13" s="3" t="n">
        <v>108</v>
      </c>
      <c r="K13" s="3" t="s">
        <v>25</v>
      </c>
      <c r="L13" s="3" t="n">
        <v>30</v>
      </c>
      <c r="M13" s="3" t="n">
        <v>34</v>
      </c>
      <c r="N13" s="3" t="s">
        <v>47</v>
      </c>
    </row>
    <row r="14" customFormat="false" ht="15" hidden="false" customHeight="true" outlineLevel="0" collapsed="false">
      <c r="A14" s="3" t="n">
        <v>13</v>
      </c>
      <c r="B14" s="3" t="s">
        <v>14</v>
      </c>
      <c r="C14" s="3" t="s">
        <v>36</v>
      </c>
      <c r="D14" s="3" t="s">
        <v>37</v>
      </c>
      <c r="E14" s="3" t="n">
        <v>2025</v>
      </c>
      <c r="F14" s="3" t="s">
        <v>17</v>
      </c>
      <c r="G14" s="3" t="s">
        <v>18</v>
      </c>
      <c r="H14" s="3" t="s">
        <v>29</v>
      </c>
      <c r="I14" s="3" t="s">
        <v>32</v>
      </c>
      <c r="J14" s="3" t="n">
        <v>216</v>
      </c>
      <c r="K14" s="3" t="s">
        <v>25</v>
      </c>
      <c r="L14" s="3" t="n">
        <v>15</v>
      </c>
      <c r="M14" s="3" t="n">
        <v>34</v>
      </c>
      <c r="N14" s="3" t="s">
        <v>48</v>
      </c>
    </row>
    <row r="15" customFormat="false" ht="15" hidden="false" customHeight="true" outlineLevel="0" collapsed="false">
      <c r="A15" s="3" t="n">
        <v>14</v>
      </c>
      <c r="B15" s="3" t="s">
        <v>14</v>
      </c>
      <c r="C15" s="3" t="s">
        <v>36</v>
      </c>
      <c r="D15" s="3" t="s">
        <v>37</v>
      </c>
      <c r="E15" s="3" t="n">
        <v>2025</v>
      </c>
      <c r="F15" s="3" t="s">
        <v>17</v>
      </c>
      <c r="G15" s="3" t="s">
        <v>18</v>
      </c>
      <c r="H15" s="3" t="s">
        <v>29</v>
      </c>
      <c r="I15" s="3" t="s">
        <v>34</v>
      </c>
      <c r="J15" s="3" t="n">
        <v>586</v>
      </c>
      <c r="K15" s="3" t="s">
        <v>25</v>
      </c>
      <c r="L15" s="3" t="n">
        <v>5</v>
      </c>
      <c r="M15" s="3" t="n">
        <v>34</v>
      </c>
      <c r="N15" s="3" t="s">
        <v>49</v>
      </c>
    </row>
    <row r="16" customFormat="false" ht="15" hidden="false" customHeight="true" outlineLevel="0" collapsed="false">
      <c r="A16" s="3" t="n">
        <v>15</v>
      </c>
      <c r="B16" s="3" t="s">
        <v>14</v>
      </c>
      <c r="C16" s="3" t="s">
        <v>50</v>
      </c>
      <c r="D16" s="3" t="s">
        <v>51</v>
      </c>
      <c r="E16" s="3" t="n">
        <v>2025</v>
      </c>
      <c r="F16" s="3" t="s">
        <v>17</v>
      </c>
      <c r="G16" s="3" t="s">
        <v>18</v>
      </c>
      <c r="H16" s="3" t="s">
        <v>19</v>
      </c>
      <c r="I16" s="3" t="s">
        <v>38</v>
      </c>
      <c r="J16" s="3" t="s">
        <v>20</v>
      </c>
      <c r="K16" s="3" t="s">
        <v>21</v>
      </c>
      <c r="L16" s="3" t="n">
        <v>25</v>
      </c>
      <c r="M16" s="3" t="n">
        <v>34</v>
      </c>
      <c r="N16" s="3" t="s">
        <v>52</v>
      </c>
    </row>
    <row r="17" customFormat="false" ht="15" hidden="false" customHeight="true" outlineLevel="0" collapsed="false">
      <c r="A17" s="3" t="n">
        <v>16</v>
      </c>
      <c r="B17" s="3" t="s">
        <v>14</v>
      </c>
      <c r="C17" s="3" t="s">
        <v>50</v>
      </c>
      <c r="D17" s="3" t="s">
        <v>51</v>
      </c>
      <c r="E17" s="3" t="n">
        <v>2025</v>
      </c>
      <c r="F17" s="3" t="s">
        <v>17</v>
      </c>
      <c r="G17" s="3" t="s">
        <v>18</v>
      </c>
      <c r="H17" s="3" t="s">
        <v>23</v>
      </c>
      <c r="I17" s="3" t="s">
        <v>24</v>
      </c>
      <c r="J17" s="3" t="n">
        <v>700</v>
      </c>
      <c r="K17" s="3" t="s">
        <v>25</v>
      </c>
      <c r="L17" s="3" t="n">
        <v>15</v>
      </c>
      <c r="M17" s="3" t="n">
        <v>34</v>
      </c>
      <c r="N17" s="3" t="s">
        <v>53</v>
      </c>
    </row>
    <row r="18" customFormat="false" ht="15" hidden="false" customHeight="true" outlineLevel="0" collapsed="false">
      <c r="A18" s="3" t="n">
        <v>17</v>
      </c>
      <c r="B18" s="3" t="s">
        <v>14</v>
      </c>
      <c r="C18" s="3" t="s">
        <v>50</v>
      </c>
      <c r="D18" s="3" t="s">
        <v>51</v>
      </c>
      <c r="E18" s="3" t="n">
        <v>2025</v>
      </c>
      <c r="F18" s="3" t="s">
        <v>17</v>
      </c>
      <c r="G18" s="3" t="s">
        <v>18</v>
      </c>
      <c r="H18" s="3" t="s">
        <v>23</v>
      </c>
      <c r="I18" s="3" t="s">
        <v>27</v>
      </c>
      <c r="J18" s="3" t="n">
        <v>400</v>
      </c>
      <c r="K18" s="3" t="s">
        <v>21</v>
      </c>
      <c r="L18" s="3" t="n">
        <v>5</v>
      </c>
      <c r="M18" s="3" t="n">
        <v>34</v>
      </c>
      <c r="N18" s="3" t="s">
        <v>54</v>
      </c>
    </row>
    <row r="19" customFormat="false" ht="15" hidden="false" customHeight="true" outlineLevel="0" collapsed="false">
      <c r="A19" s="3" t="n">
        <v>18</v>
      </c>
      <c r="B19" s="3" t="s">
        <v>14</v>
      </c>
      <c r="C19" s="3" t="s">
        <v>50</v>
      </c>
      <c r="D19" s="3" t="s">
        <v>51</v>
      </c>
      <c r="E19" s="3" t="n">
        <v>2025</v>
      </c>
      <c r="F19" s="3" t="s">
        <v>17</v>
      </c>
      <c r="G19" s="3" t="s">
        <v>18</v>
      </c>
      <c r="H19" s="3" t="s">
        <v>29</v>
      </c>
      <c r="I19" s="3" t="s">
        <v>30</v>
      </c>
      <c r="J19" s="3" t="n">
        <v>108</v>
      </c>
      <c r="K19" s="3" t="s">
        <v>25</v>
      </c>
      <c r="L19" s="3" t="n">
        <v>5</v>
      </c>
      <c r="M19" s="3" t="n">
        <v>34</v>
      </c>
      <c r="N19" s="3" t="s">
        <v>55</v>
      </c>
    </row>
    <row r="20" customFormat="false" ht="15" hidden="false" customHeight="true" outlineLevel="0" collapsed="false">
      <c r="A20" s="3" t="n">
        <v>19</v>
      </c>
      <c r="B20" s="3" t="s">
        <v>14</v>
      </c>
      <c r="C20" s="3" t="s">
        <v>50</v>
      </c>
      <c r="D20" s="3" t="s">
        <v>51</v>
      </c>
      <c r="E20" s="3" t="n">
        <v>2025</v>
      </c>
      <c r="F20" s="3" t="s">
        <v>17</v>
      </c>
      <c r="G20" s="3" t="s">
        <v>18</v>
      </c>
      <c r="H20" s="3" t="s">
        <v>29</v>
      </c>
      <c r="I20" s="3" t="s">
        <v>32</v>
      </c>
      <c r="J20" s="3" t="n">
        <v>216</v>
      </c>
      <c r="K20" s="3" t="s">
        <v>25</v>
      </c>
      <c r="L20" s="3" t="n">
        <v>3</v>
      </c>
      <c r="M20" s="3" t="n">
        <v>34</v>
      </c>
      <c r="N20" s="3" t="s">
        <v>56</v>
      </c>
    </row>
    <row r="21" customFormat="false" ht="15" hidden="false" customHeight="true" outlineLevel="0" collapsed="false">
      <c r="A21" s="3" t="n">
        <v>20</v>
      </c>
      <c r="B21" s="3" t="s">
        <v>14</v>
      </c>
      <c r="C21" s="3" t="s">
        <v>50</v>
      </c>
      <c r="D21" s="3" t="s">
        <v>51</v>
      </c>
      <c r="E21" s="3" t="n">
        <v>2025</v>
      </c>
      <c r="F21" s="3" t="s">
        <v>17</v>
      </c>
      <c r="G21" s="3" t="s">
        <v>18</v>
      </c>
      <c r="H21" s="3" t="s">
        <v>29</v>
      </c>
      <c r="I21" s="3" t="s">
        <v>34</v>
      </c>
      <c r="J21" s="3" t="n">
        <v>586</v>
      </c>
      <c r="K21" s="3" t="s">
        <v>25</v>
      </c>
      <c r="L21" s="3" t="n">
        <v>2</v>
      </c>
      <c r="M21" s="3" t="n">
        <v>34</v>
      </c>
      <c r="N21" s="3" t="s">
        <v>57</v>
      </c>
    </row>
    <row r="22" customFormat="false" ht="15" hidden="false" customHeight="true" outlineLevel="0" collapsed="false">
      <c r="A22" s="3" t="n">
        <v>21</v>
      </c>
      <c r="B22" s="3" t="s">
        <v>14</v>
      </c>
      <c r="C22" s="3" t="s">
        <v>58</v>
      </c>
      <c r="D22" s="3" t="s">
        <v>59</v>
      </c>
      <c r="E22" s="3" t="n">
        <v>2025</v>
      </c>
      <c r="F22" s="3" t="s">
        <v>60</v>
      </c>
      <c r="G22" s="3" t="s">
        <v>18</v>
      </c>
      <c r="H22" s="3" t="s">
        <v>19</v>
      </c>
      <c r="I22" s="3" t="s">
        <v>38</v>
      </c>
      <c r="J22" s="3" t="s">
        <v>20</v>
      </c>
      <c r="K22" s="3" t="s">
        <v>21</v>
      </c>
      <c r="L22" s="3" t="n">
        <v>25</v>
      </c>
      <c r="M22" s="3" t="n">
        <v>34</v>
      </c>
      <c r="N22" s="3" t="s">
        <v>61</v>
      </c>
    </row>
    <row r="23" customFormat="false" ht="15" hidden="false" customHeight="true" outlineLevel="0" collapsed="false">
      <c r="A23" s="3" t="n">
        <v>22</v>
      </c>
      <c r="B23" s="3" t="s">
        <v>14</v>
      </c>
      <c r="C23" s="3" t="s">
        <v>58</v>
      </c>
      <c r="D23" s="3" t="s">
        <v>59</v>
      </c>
      <c r="E23" s="3" t="n">
        <v>2025</v>
      </c>
      <c r="F23" s="3" t="s">
        <v>60</v>
      </c>
      <c r="G23" s="3" t="s">
        <v>18</v>
      </c>
      <c r="H23" s="3" t="s">
        <v>23</v>
      </c>
      <c r="I23" s="3" t="s">
        <v>24</v>
      </c>
      <c r="J23" s="3" t="n">
        <v>700</v>
      </c>
      <c r="K23" s="3" t="s">
        <v>25</v>
      </c>
      <c r="L23" s="3" t="n">
        <v>15</v>
      </c>
      <c r="M23" s="3" t="n">
        <v>34</v>
      </c>
      <c r="N23" s="3" t="s">
        <v>62</v>
      </c>
    </row>
    <row r="24" customFormat="false" ht="15" hidden="false" customHeight="true" outlineLevel="0" collapsed="false">
      <c r="A24" s="3" t="n">
        <v>23</v>
      </c>
      <c r="B24" s="3" t="s">
        <v>14</v>
      </c>
      <c r="C24" s="3" t="s">
        <v>58</v>
      </c>
      <c r="D24" s="3" t="s">
        <v>59</v>
      </c>
      <c r="E24" s="3" t="n">
        <v>2025</v>
      </c>
      <c r="F24" s="3" t="s">
        <v>60</v>
      </c>
      <c r="G24" s="3" t="s">
        <v>18</v>
      </c>
      <c r="H24" s="3" t="s">
        <v>23</v>
      </c>
      <c r="I24" s="3" t="s">
        <v>27</v>
      </c>
      <c r="J24" s="3" t="n">
        <v>400</v>
      </c>
      <c r="K24" s="3" t="s">
        <v>21</v>
      </c>
      <c r="L24" s="3" t="n">
        <v>2</v>
      </c>
      <c r="M24" s="3" t="n">
        <v>34</v>
      </c>
      <c r="N24" s="3" t="s">
        <v>63</v>
      </c>
    </row>
    <row r="25" customFormat="false" ht="15" hidden="false" customHeight="true" outlineLevel="0" collapsed="false">
      <c r="A25" s="3" t="n">
        <v>24</v>
      </c>
      <c r="B25" s="3" t="s">
        <v>14</v>
      </c>
      <c r="C25" s="3" t="s">
        <v>58</v>
      </c>
      <c r="D25" s="3" t="s">
        <v>59</v>
      </c>
      <c r="E25" s="3" t="n">
        <v>2025</v>
      </c>
      <c r="F25" s="3" t="s">
        <v>60</v>
      </c>
      <c r="G25" s="3" t="s">
        <v>18</v>
      </c>
      <c r="H25" s="3" t="s">
        <v>29</v>
      </c>
      <c r="I25" s="3" t="s">
        <v>30</v>
      </c>
      <c r="J25" s="3" t="n">
        <v>108</v>
      </c>
      <c r="K25" s="3" t="s">
        <v>25</v>
      </c>
      <c r="L25" s="3" t="n">
        <v>5</v>
      </c>
      <c r="M25" s="3" t="n">
        <v>34</v>
      </c>
      <c r="N25" s="3" t="s">
        <v>64</v>
      </c>
    </row>
    <row r="26" customFormat="false" ht="15" hidden="false" customHeight="true" outlineLevel="0" collapsed="false">
      <c r="A26" s="3" t="n">
        <v>25</v>
      </c>
      <c r="B26" s="3" t="s">
        <v>14</v>
      </c>
      <c r="C26" s="3" t="s">
        <v>58</v>
      </c>
      <c r="D26" s="3" t="s">
        <v>59</v>
      </c>
      <c r="E26" s="3" t="n">
        <v>2025</v>
      </c>
      <c r="F26" s="3" t="s">
        <v>60</v>
      </c>
      <c r="G26" s="3" t="s">
        <v>18</v>
      </c>
      <c r="H26" s="3" t="s">
        <v>29</v>
      </c>
      <c r="I26" s="3" t="s">
        <v>32</v>
      </c>
      <c r="J26" s="3" t="n">
        <v>216</v>
      </c>
      <c r="K26" s="3" t="s">
        <v>25</v>
      </c>
      <c r="L26" s="3" t="n">
        <v>3</v>
      </c>
      <c r="M26" s="3" t="n">
        <v>34</v>
      </c>
      <c r="N26" s="3" t="s">
        <v>65</v>
      </c>
    </row>
    <row r="27" customFormat="false" ht="15" hidden="false" customHeight="true" outlineLevel="0" collapsed="false">
      <c r="A27" s="3" t="n">
        <v>26</v>
      </c>
      <c r="B27" s="3" t="s">
        <v>14</v>
      </c>
      <c r="C27" s="3" t="s">
        <v>58</v>
      </c>
      <c r="D27" s="3" t="s">
        <v>59</v>
      </c>
      <c r="E27" s="3" t="n">
        <v>2025</v>
      </c>
      <c r="F27" s="3" t="s">
        <v>60</v>
      </c>
      <c r="G27" s="3" t="s">
        <v>18</v>
      </c>
      <c r="H27" s="3" t="s">
        <v>29</v>
      </c>
      <c r="I27" s="3" t="s">
        <v>34</v>
      </c>
      <c r="J27" s="3" t="n">
        <v>586</v>
      </c>
      <c r="K27" s="3" t="s">
        <v>25</v>
      </c>
      <c r="L27" s="3" t="n">
        <v>2</v>
      </c>
      <c r="M27" s="3" t="n">
        <v>34</v>
      </c>
      <c r="N27" s="3" t="s">
        <v>66</v>
      </c>
    </row>
    <row r="28" customFormat="false" ht="15" hidden="false" customHeight="true" outlineLevel="0" collapsed="false">
      <c r="A28" s="3" t="n">
        <v>27</v>
      </c>
      <c r="B28" s="3" t="s">
        <v>14</v>
      </c>
      <c r="C28" s="3" t="s">
        <v>58</v>
      </c>
      <c r="D28" s="3" t="s">
        <v>59</v>
      </c>
      <c r="E28" s="3" t="n">
        <v>2025</v>
      </c>
      <c r="F28" s="3" t="s">
        <v>60</v>
      </c>
      <c r="G28" s="3" t="s">
        <v>18</v>
      </c>
      <c r="H28" s="3" t="s">
        <v>67</v>
      </c>
      <c r="I28" s="3" t="s">
        <v>68</v>
      </c>
      <c r="J28" s="3" t="n">
        <v>250</v>
      </c>
      <c r="K28" s="3" t="s">
        <v>25</v>
      </c>
      <c r="L28" s="3" t="n">
        <v>5</v>
      </c>
      <c r="M28" s="3" t="n">
        <v>34</v>
      </c>
      <c r="N28" s="3" t="s">
        <v>69</v>
      </c>
    </row>
    <row r="29" customFormat="false" ht="15" hidden="false" customHeight="true" outlineLevel="0" collapsed="false">
      <c r="A29" s="3" t="n">
        <v>28</v>
      </c>
      <c r="B29" s="3" t="s">
        <v>14</v>
      </c>
      <c r="C29" s="3" t="s">
        <v>15</v>
      </c>
      <c r="D29" s="3" t="s">
        <v>70</v>
      </c>
      <c r="E29" s="3" t="n">
        <v>2025</v>
      </c>
      <c r="F29" s="3" t="s">
        <v>71</v>
      </c>
      <c r="G29" s="3" t="s">
        <v>18</v>
      </c>
      <c r="H29" s="3" t="s">
        <v>19</v>
      </c>
      <c r="I29" s="3" t="s">
        <v>72</v>
      </c>
      <c r="J29" s="3" t="s">
        <v>20</v>
      </c>
      <c r="K29" s="3" t="s">
        <v>21</v>
      </c>
      <c r="L29" s="3" t="n">
        <v>15</v>
      </c>
      <c r="M29" s="3" t="n">
        <v>34</v>
      </c>
      <c r="N29" s="3" t="s">
        <v>73</v>
      </c>
    </row>
    <row r="30" customFormat="false" ht="15" hidden="false" customHeight="true" outlineLevel="0" collapsed="false">
      <c r="A30" s="3" t="n">
        <v>29</v>
      </c>
      <c r="B30" s="3" t="s">
        <v>14</v>
      </c>
      <c r="C30" s="3" t="s">
        <v>15</v>
      </c>
      <c r="D30" s="3" t="s">
        <v>70</v>
      </c>
      <c r="E30" s="3" t="n">
        <v>2025</v>
      </c>
      <c r="F30" s="3" t="s">
        <v>71</v>
      </c>
      <c r="G30" s="3" t="s">
        <v>18</v>
      </c>
      <c r="H30" s="3" t="s">
        <v>19</v>
      </c>
      <c r="I30" s="3" t="s">
        <v>74</v>
      </c>
      <c r="J30" s="3" t="s">
        <v>20</v>
      </c>
      <c r="K30" s="3" t="s">
        <v>21</v>
      </c>
      <c r="L30" s="3" t="n">
        <v>10</v>
      </c>
      <c r="M30" s="3" t="n">
        <v>34</v>
      </c>
      <c r="N30" s="3" t="s">
        <v>73</v>
      </c>
    </row>
    <row r="31" customFormat="false" ht="15" hidden="false" customHeight="true" outlineLevel="0" collapsed="false">
      <c r="A31" s="3" t="n">
        <v>30</v>
      </c>
      <c r="B31" s="3" t="s">
        <v>14</v>
      </c>
      <c r="C31" s="3" t="s">
        <v>15</v>
      </c>
      <c r="D31" s="3" t="s">
        <v>70</v>
      </c>
      <c r="E31" s="3" t="n">
        <v>2025</v>
      </c>
      <c r="F31" s="3" t="s">
        <v>71</v>
      </c>
      <c r="G31" s="3" t="s">
        <v>18</v>
      </c>
      <c r="H31" s="3" t="s">
        <v>23</v>
      </c>
      <c r="I31" s="3" t="s">
        <v>24</v>
      </c>
      <c r="J31" s="3" t="n">
        <v>700</v>
      </c>
      <c r="K31" s="3" t="s">
        <v>25</v>
      </c>
      <c r="L31" s="3" t="n">
        <v>15</v>
      </c>
      <c r="M31" s="3" t="n">
        <v>34</v>
      </c>
      <c r="N31" s="3" t="s">
        <v>75</v>
      </c>
    </row>
    <row r="32" customFormat="false" ht="15" hidden="false" customHeight="true" outlineLevel="0" collapsed="false">
      <c r="A32" s="3" t="n">
        <v>31</v>
      </c>
      <c r="B32" s="3" t="s">
        <v>14</v>
      </c>
      <c r="C32" s="3" t="s">
        <v>15</v>
      </c>
      <c r="D32" s="3" t="s">
        <v>70</v>
      </c>
      <c r="E32" s="3" t="n">
        <v>2025</v>
      </c>
      <c r="F32" s="3" t="s">
        <v>71</v>
      </c>
      <c r="G32" s="3" t="s">
        <v>18</v>
      </c>
      <c r="H32" s="3" t="s">
        <v>23</v>
      </c>
      <c r="I32" s="3" t="s">
        <v>27</v>
      </c>
      <c r="J32" s="3" t="n">
        <v>580</v>
      </c>
      <c r="K32" s="3" t="s">
        <v>21</v>
      </c>
      <c r="L32" s="3" t="n">
        <v>2</v>
      </c>
      <c r="M32" s="3" t="n">
        <v>34</v>
      </c>
      <c r="N32" s="3" t="s">
        <v>63</v>
      </c>
    </row>
    <row r="33" customFormat="false" ht="15" hidden="false" customHeight="true" outlineLevel="0" collapsed="false">
      <c r="A33" s="3" t="n">
        <v>32</v>
      </c>
      <c r="B33" s="3" t="s">
        <v>14</v>
      </c>
      <c r="C33" s="3" t="s">
        <v>15</v>
      </c>
      <c r="D33" s="3" t="s">
        <v>70</v>
      </c>
      <c r="E33" s="3" t="n">
        <v>2025</v>
      </c>
      <c r="F33" s="3" t="s">
        <v>71</v>
      </c>
      <c r="G33" s="3" t="s">
        <v>18</v>
      </c>
      <c r="H33" s="3" t="s">
        <v>29</v>
      </c>
      <c r="I33" s="3" t="s">
        <v>30</v>
      </c>
      <c r="J33" s="3" t="n">
        <v>108</v>
      </c>
      <c r="K33" s="3" t="s">
        <v>25</v>
      </c>
      <c r="L33" s="3" t="n">
        <v>5</v>
      </c>
      <c r="M33" s="3" t="n">
        <v>34</v>
      </c>
      <c r="N33" s="3" t="s">
        <v>31</v>
      </c>
    </row>
    <row r="34" customFormat="false" ht="15" hidden="false" customHeight="true" outlineLevel="0" collapsed="false">
      <c r="A34" s="3" t="n">
        <v>33</v>
      </c>
      <c r="B34" s="3" t="s">
        <v>14</v>
      </c>
      <c r="C34" s="3" t="s">
        <v>15</v>
      </c>
      <c r="D34" s="3" t="s">
        <v>70</v>
      </c>
      <c r="E34" s="3" t="n">
        <v>2025</v>
      </c>
      <c r="F34" s="3" t="s">
        <v>71</v>
      </c>
      <c r="G34" s="3" t="s">
        <v>18</v>
      </c>
      <c r="H34" s="3" t="s">
        <v>29</v>
      </c>
      <c r="I34" s="3" t="s">
        <v>32</v>
      </c>
      <c r="J34" s="3" t="n">
        <v>216</v>
      </c>
      <c r="K34" s="3" t="s">
        <v>25</v>
      </c>
      <c r="L34" s="3" t="n">
        <v>3</v>
      </c>
      <c r="M34" s="3" t="n">
        <v>34</v>
      </c>
      <c r="N34" s="3" t="s">
        <v>33</v>
      </c>
    </row>
    <row r="35" customFormat="false" ht="15" hidden="false" customHeight="true" outlineLevel="0" collapsed="false">
      <c r="A35" s="3" t="n">
        <v>34</v>
      </c>
      <c r="B35" s="3" t="s">
        <v>14</v>
      </c>
      <c r="C35" s="3" t="s">
        <v>15</v>
      </c>
      <c r="D35" s="3" t="s">
        <v>70</v>
      </c>
      <c r="E35" s="3" t="n">
        <v>2025</v>
      </c>
      <c r="F35" s="3" t="s">
        <v>71</v>
      </c>
      <c r="G35" s="3" t="s">
        <v>18</v>
      </c>
      <c r="H35" s="3" t="s">
        <v>29</v>
      </c>
      <c r="I35" s="3" t="s">
        <v>34</v>
      </c>
      <c r="J35" s="3" t="n">
        <v>586</v>
      </c>
      <c r="K35" s="3" t="s">
        <v>25</v>
      </c>
      <c r="L35" s="3" t="n">
        <v>2</v>
      </c>
      <c r="M35" s="3" t="n">
        <v>34</v>
      </c>
      <c r="N35" s="3" t="s">
        <v>35</v>
      </c>
    </row>
    <row r="36" customFormat="false" ht="15" hidden="false" customHeight="true" outlineLevel="0" collapsed="false">
      <c r="A36" s="3" t="n">
        <v>35</v>
      </c>
      <c r="B36" s="3" t="s">
        <v>14</v>
      </c>
      <c r="C36" s="3" t="s">
        <v>15</v>
      </c>
      <c r="D36" s="3" t="s">
        <v>70</v>
      </c>
      <c r="E36" s="3" t="n">
        <v>2025</v>
      </c>
      <c r="F36" s="3" t="s">
        <v>71</v>
      </c>
      <c r="G36" s="3" t="s">
        <v>18</v>
      </c>
      <c r="H36" s="3" t="s">
        <v>67</v>
      </c>
      <c r="I36" s="3" t="s">
        <v>68</v>
      </c>
      <c r="J36" s="3" t="n">
        <v>250</v>
      </c>
      <c r="K36" s="3" t="s">
        <v>25</v>
      </c>
      <c r="L36" s="3" t="n">
        <v>5</v>
      </c>
      <c r="M36" s="3" t="n">
        <v>34</v>
      </c>
      <c r="N36" s="3" t="s">
        <v>69</v>
      </c>
    </row>
    <row r="37" customFormat="false" ht="15" hidden="false" customHeight="false" outlineLevel="0" collapsed="false">
      <c r="A37" s="3" t="n">
        <v>36</v>
      </c>
      <c r="B37" s="3" t="s">
        <v>14</v>
      </c>
      <c r="C37" s="3" t="s">
        <v>36</v>
      </c>
      <c r="D37" s="3" t="s">
        <v>76</v>
      </c>
      <c r="E37" s="3" t="n">
        <v>2026</v>
      </c>
      <c r="F37" s="3" t="s">
        <v>77</v>
      </c>
      <c r="G37" s="3" t="s">
        <v>18</v>
      </c>
      <c r="H37" s="3" t="s">
        <v>19</v>
      </c>
      <c r="I37" s="3" t="s">
        <v>38</v>
      </c>
      <c r="J37" s="3" t="s">
        <v>20</v>
      </c>
      <c r="K37" s="3" t="s">
        <v>21</v>
      </c>
      <c r="L37" s="3" t="n">
        <v>100</v>
      </c>
      <c r="M37" s="3" t="n">
        <v>19</v>
      </c>
      <c r="N37" s="3" t="s">
        <v>39</v>
      </c>
    </row>
    <row r="38" customFormat="false" ht="15" hidden="false" customHeight="false" outlineLevel="0" collapsed="false">
      <c r="A38" s="3" t="n">
        <v>37</v>
      </c>
      <c r="B38" s="3" t="s">
        <v>14</v>
      </c>
      <c r="C38" s="3" t="s">
        <v>36</v>
      </c>
      <c r="D38" s="3" t="s">
        <v>76</v>
      </c>
      <c r="E38" s="3" t="n">
        <v>2026</v>
      </c>
      <c r="F38" s="3" t="s">
        <v>77</v>
      </c>
      <c r="G38" s="3" t="s">
        <v>18</v>
      </c>
      <c r="H38" s="3" t="s">
        <v>19</v>
      </c>
      <c r="I38" s="3" t="s">
        <v>40</v>
      </c>
      <c r="J38" s="3" t="n">
        <v>360</v>
      </c>
      <c r="K38" s="3" t="s">
        <v>25</v>
      </c>
      <c r="L38" s="3" t="n">
        <v>20</v>
      </c>
      <c r="M38" s="3" t="n">
        <v>19</v>
      </c>
      <c r="N38" s="3" t="s">
        <v>41</v>
      </c>
    </row>
    <row r="39" customFormat="false" ht="15" hidden="false" customHeight="false" outlineLevel="0" collapsed="false">
      <c r="A39" s="3" t="n">
        <v>38</v>
      </c>
      <c r="B39" s="3" t="s">
        <v>14</v>
      </c>
      <c r="C39" s="3" t="s">
        <v>36</v>
      </c>
      <c r="D39" s="3" t="s">
        <v>76</v>
      </c>
      <c r="E39" s="3" t="n">
        <v>2026</v>
      </c>
      <c r="F39" s="3" t="s">
        <v>77</v>
      </c>
      <c r="G39" s="3" t="s">
        <v>18</v>
      </c>
      <c r="H39" s="3" t="s">
        <v>23</v>
      </c>
      <c r="I39" s="3" t="s">
        <v>24</v>
      </c>
      <c r="J39" s="3" t="n">
        <v>700</v>
      </c>
      <c r="K39" s="3" t="s">
        <v>25</v>
      </c>
      <c r="L39" s="3" t="n">
        <v>50</v>
      </c>
      <c r="M39" s="3" t="n">
        <v>19</v>
      </c>
      <c r="N39" s="3" t="s">
        <v>78</v>
      </c>
    </row>
    <row r="40" customFormat="false" ht="15" hidden="false" customHeight="false" outlineLevel="0" collapsed="false">
      <c r="A40" s="3" t="n">
        <v>39</v>
      </c>
      <c r="B40" s="3" t="s">
        <v>14</v>
      </c>
      <c r="C40" s="3" t="s">
        <v>36</v>
      </c>
      <c r="D40" s="3" t="s">
        <v>76</v>
      </c>
      <c r="E40" s="3" t="n">
        <v>2026</v>
      </c>
      <c r="F40" s="3" t="s">
        <v>77</v>
      </c>
      <c r="G40" s="3" t="s">
        <v>18</v>
      </c>
      <c r="H40" s="3" t="s">
        <v>23</v>
      </c>
      <c r="I40" s="3" t="s">
        <v>43</v>
      </c>
      <c r="J40" s="3" t="n">
        <v>500</v>
      </c>
      <c r="K40" s="3" t="s">
        <v>21</v>
      </c>
      <c r="L40" s="3" t="n">
        <v>4</v>
      </c>
      <c r="M40" s="3" t="n">
        <v>19</v>
      </c>
      <c r="N40" s="3" t="s">
        <v>79</v>
      </c>
    </row>
    <row r="41" customFormat="false" ht="15" hidden="false" customHeight="false" outlineLevel="0" collapsed="false">
      <c r="A41" s="3" t="n">
        <v>40</v>
      </c>
      <c r="B41" s="3" t="s">
        <v>14</v>
      </c>
      <c r="C41" s="3" t="s">
        <v>36</v>
      </c>
      <c r="D41" s="3" t="s">
        <v>76</v>
      </c>
      <c r="E41" s="3" t="n">
        <v>2026</v>
      </c>
      <c r="F41" s="3" t="s">
        <v>77</v>
      </c>
      <c r="G41" s="3" t="s">
        <v>18</v>
      </c>
      <c r="H41" s="3" t="s">
        <v>23</v>
      </c>
      <c r="I41" s="3" t="s">
        <v>45</v>
      </c>
      <c r="J41" s="3" t="n">
        <v>680</v>
      </c>
      <c r="K41" s="3" t="s">
        <v>21</v>
      </c>
      <c r="L41" s="3" t="n">
        <v>6</v>
      </c>
      <c r="M41" s="3" t="n">
        <v>19</v>
      </c>
      <c r="N41" s="3" t="s">
        <v>80</v>
      </c>
    </row>
    <row r="42" customFormat="false" ht="15" hidden="false" customHeight="false" outlineLevel="0" collapsed="false">
      <c r="A42" s="3" t="n">
        <v>41</v>
      </c>
      <c r="B42" s="3" t="s">
        <v>14</v>
      </c>
      <c r="C42" s="3" t="s">
        <v>36</v>
      </c>
      <c r="D42" s="3" t="s">
        <v>76</v>
      </c>
      <c r="E42" s="3" t="n">
        <v>2026</v>
      </c>
      <c r="F42" s="3" t="s">
        <v>77</v>
      </c>
      <c r="G42" s="3" t="s">
        <v>18</v>
      </c>
      <c r="H42" s="3" t="s">
        <v>29</v>
      </c>
      <c r="I42" s="3" t="s">
        <v>30</v>
      </c>
      <c r="J42" s="3" t="n">
        <v>125</v>
      </c>
      <c r="K42" s="3" t="s">
        <v>25</v>
      </c>
      <c r="L42" s="3" t="n">
        <v>30</v>
      </c>
      <c r="M42" s="3" t="n">
        <v>19</v>
      </c>
      <c r="N42" s="3" t="s">
        <v>47</v>
      </c>
    </row>
    <row r="43" customFormat="false" ht="15" hidden="false" customHeight="false" outlineLevel="0" collapsed="false">
      <c r="A43" s="3" t="n">
        <v>42</v>
      </c>
      <c r="B43" s="3" t="s">
        <v>14</v>
      </c>
      <c r="C43" s="3" t="s">
        <v>36</v>
      </c>
      <c r="D43" s="3" t="s">
        <v>76</v>
      </c>
      <c r="E43" s="3" t="n">
        <v>2026</v>
      </c>
      <c r="F43" s="3" t="s">
        <v>77</v>
      </c>
      <c r="G43" s="3" t="s">
        <v>18</v>
      </c>
      <c r="H43" s="3" t="s">
        <v>29</v>
      </c>
      <c r="I43" s="3" t="s">
        <v>32</v>
      </c>
      <c r="J43" s="3" t="n">
        <v>250</v>
      </c>
      <c r="K43" s="3" t="s">
        <v>25</v>
      </c>
      <c r="L43" s="3" t="n">
        <v>20</v>
      </c>
      <c r="M43" s="3" t="n">
        <v>19</v>
      </c>
      <c r="N43" s="3" t="s">
        <v>48</v>
      </c>
    </row>
    <row r="44" customFormat="false" ht="15" hidden="false" customHeight="false" outlineLevel="0" collapsed="false">
      <c r="A44" s="3" t="n">
        <v>43</v>
      </c>
      <c r="B44" s="3" t="s">
        <v>14</v>
      </c>
      <c r="C44" s="3" t="s">
        <v>36</v>
      </c>
      <c r="D44" s="3" t="s">
        <v>76</v>
      </c>
      <c r="E44" s="3" t="n">
        <v>2026</v>
      </c>
      <c r="F44" s="3" t="s">
        <v>77</v>
      </c>
      <c r="G44" s="3" t="s">
        <v>18</v>
      </c>
      <c r="H44" s="3" t="s">
        <v>29</v>
      </c>
      <c r="I44" s="3" t="s">
        <v>34</v>
      </c>
      <c r="J44" s="3" t="n">
        <v>586</v>
      </c>
      <c r="K44" s="3" t="s">
        <v>25</v>
      </c>
      <c r="L44" s="3" t="n">
        <v>10</v>
      </c>
      <c r="M44" s="3" t="n">
        <v>19</v>
      </c>
      <c r="N44" s="3" t="s">
        <v>81</v>
      </c>
    </row>
    <row r="45" customFormat="false" ht="15" hidden="false" customHeight="false" outlineLevel="0" collapsed="false">
      <c r="A45" s="3" t="n">
        <v>44</v>
      </c>
      <c r="B45" s="3" t="s">
        <v>14</v>
      </c>
      <c r="C45" s="3" t="s">
        <v>36</v>
      </c>
      <c r="D45" s="3" t="s">
        <v>76</v>
      </c>
      <c r="E45" s="3" t="n">
        <v>2026</v>
      </c>
      <c r="F45" s="3" t="s">
        <v>77</v>
      </c>
      <c r="G45" s="3" t="s">
        <v>18</v>
      </c>
      <c r="H45" s="3" t="s">
        <v>67</v>
      </c>
      <c r="I45" s="3" t="s">
        <v>68</v>
      </c>
      <c r="J45" s="3" t="n">
        <v>250</v>
      </c>
      <c r="K45" s="3" t="s">
        <v>25</v>
      </c>
      <c r="L45" s="3" t="n">
        <v>5</v>
      </c>
      <c r="M45" s="3" t="n">
        <v>19</v>
      </c>
      <c r="N45" s="3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2" t="s">
        <v>82</v>
      </c>
      <c r="B1" s="2" t="s">
        <v>83</v>
      </c>
      <c r="C1" s="2" t="s">
        <v>19</v>
      </c>
      <c r="D1" s="2" t="s">
        <v>23</v>
      </c>
      <c r="E1" s="2" t="s">
        <v>29</v>
      </c>
      <c r="F1" s="2" t="s">
        <v>67</v>
      </c>
      <c r="G1" s="2" t="s">
        <v>84</v>
      </c>
    </row>
    <row r="2" customFormat="false" ht="15" hidden="false" customHeight="false" outlineLevel="0" collapsed="false">
      <c r="A2" s="4" t="s">
        <v>15</v>
      </c>
      <c r="B2" s="4" t="s">
        <v>16</v>
      </c>
      <c r="C2" s="4" t="n">
        <f aca="false">SUMIFS(Base_Consolidada!$L$2:$L$45,Base_Consolidada!$C$2:$C$45,$A2,Base_Consolidada!$D$2:$D$45,$B2,Base_Consolidada!$H$2:$H$45,C1)</f>
        <v>30</v>
      </c>
      <c r="D2" s="4" t="n">
        <f aca="false">SUMIFS(Base_Consolidada!$L$2:$L$45,Base_Consolidada!$C$2:$C$45,$A2,Base_Consolidada!$D$2:$D$45,$B2,Base_Consolidada!$H$2:$H$45,D1)</f>
        <v>24</v>
      </c>
      <c r="E2" s="4" t="n">
        <f aca="false">SUMIFS(Base_Consolidada!$L$2:$L$45,Base_Consolidada!$C$2:$C$45,$A2,Base_Consolidada!$D$2:$D$45,$B2,Base_Consolidada!$H$2:$H$45,E1)</f>
        <v>30</v>
      </c>
      <c r="F2" s="4" t="n">
        <f aca="false">SUMIFS(Base_Consolidada!$L$2:$L$45,Base_Consolidada!$C$2:$C$45,$A2,Base_Consolidada!$D$2:$D$45,$B2,Base_Consolidada!$H$2:$H$45,F1)</f>
        <v>0</v>
      </c>
      <c r="G2" s="4" t="n">
        <f aca="false">SUM(C2:F2)</f>
        <v>84</v>
      </c>
    </row>
    <row r="3" customFormat="false" ht="15" hidden="false" customHeight="false" outlineLevel="0" collapsed="false">
      <c r="A3" s="4" t="s">
        <v>36</v>
      </c>
      <c r="B3" s="4" t="s">
        <v>37</v>
      </c>
      <c r="C3" s="4" t="n">
        <f aca="false">SUMIFS(Base_Consolidada!$L$2:$L$45,Base_Consolidada!$C$2:$C$45,$A3,Base_Consolidada!$D$2:$D$45,$B3,Base_Consolidada!$H$2:$H$45,C1)</f>
        <v>115</v>
      </c>
      <c r="D3" s="4" t="n">
        <f aca="false">SUMIFS(Base_Consolidada!$L$2:$L$45,Base_Consolidada!$C$2:$C$45,$A3,Base_Consolidada!$D$2:$D$45,$B3,Base_Consolidada!$H$2:$H$45,D1)</f>
        <v>55</v>
      </c>
      <c r="E3" s="4" t="n">
        <f aca="false">SUMIFS(Base_Consolidada!$L$2:$L$45,Base_Consolidada!$C$2:$C$45,$A3,Base_Consolidada!$D$2:$D$45,$B3,Base_Consolidada!$H$2:$H$45,E1)</f>
        <v>50</v>
      </c>
      <c r="F3" s="4" t="n">
        <f aca="false">SUMIFS(Base_Consolidada!$L$2:$L$45,Base_Consolidada!$C$2:$C$45,$A3,Base_Consolidada!$D$2:$D$45,$B3,Base_Consolidada!$H$2:$H$45,F1)</f>
        <v>0</v>
      </c>
      <c r="G3" s="4" t="n">
        <f aca="false">SUM(C3:F3)</f>
        <v>220</v>
      </c>
    </row>
    <row r="4" customFormat="false" ht="15" hidden="false" customHeight="false" outlineLevel="0" collapsed="false">
      <c r="A4" s="4" t="s">
        <v>50</v>
      </c>
      <c r="B4" s="4" t="s">
        <v>51</v>
      </c>
      <c r="C4" s="4" t="n">
        <f aca="false">SUMIFS(Base_Consolidada!$L$2:$L$45,Base_Consolidada!$C$2:$C$45,$A4,Base_Consolidada!$D$2:$D$45,$B4,Base_Consolidada!$H$2:$H$45,C1)</f>
        <v>25</v>
      </c>
      <c r="D4" s="4" t="n">
        <f aca="false">SUMIFS(Base_Consolidada!$L$2:$L$45,Base_Consolidada!$C$2:$C$45,$A4,Base_Consolidada!$D$2:$D$45,$B4,Base_Consolidada!$H$2:$H$45,D1)</f>
        <v>20</v>
      </c>
      <c r="E4" s="4" t="n">
        <f aca="false">SUMIFS(Base_Consolidada!$L$2:$L$45,Base_Consolidada!$C$2:$C$45,$A4,Base_Consolidada!$D$2:$D$45,$B4,Base_Consolidada!$H$2:$H$45,E1)</f>
        <v>10</v>
      </c>
      <c r="F4" s="4" t="n">
        <f aca="false">SUMIFS(Base_Consolidada!$L$2:$L$45,Base_Consolidada!$C$2:$C$45,$A4,Base_Consolidada!$D$2:$D$45,$B4,Base_Consolidada!$H$2:$H$45,F1)</f>
        <v>0</v>
      </c>
      <c r="G4" s="4" t="n">
        <f aca="false">SUM(C4:F4)</f>
        <v>55</v>
      </c>
    </row>
    <row r="5" customFormat="false" ht="15" hidden="false" customHeight="false" outlineLevel="0" collapsed="false">
      <c r="A5" s="4" t="s">
        <v>58</v>
      </c>
      <c r="B5" s="4" t="s">
        <v>59</v>
      </c>
      <c r="C5" s="4" t="n">
        <f aca="false">SUMIFS(Base_Consolidada!$L$2:$L$45,Base_Consolidada!$C$2:$C$45,$A5,Base_Consolidada!$D$2:$D$45,$B5,Base_Consolidada!$H$2:$H$45,C1)</f>
        <v>25</v>
      </c>
      <c r="D5" s="4" t="n">
        <f aca="false">SUMIFS(Base_Consolidada!$L$2:$L$45,Base_Consolidada!$C$2:$C$45,$A5,Base_Consolidada!$D$2:$D$45,$B5,Base_Consolidada!$H$2:$H$45,D1)</f>
        <v>17</v>
      </c>
      <c r="E5" s="4" t="n">
        <f aca="false">SUMIFS(Base_Consolidada!$L$2:$L$45,Base_Consolidada!$C$2:$C$45,$A5,Base_Consolidada!$D$2:$D$45,$B5,Base_Consolidada!$H$2:$H$45,E1)</f>
        <v>10</v>
      </c>
      <c r="F5" s="4" t="n">
        <f aca="false">SUMIFS(Base_Consolidada!$L$2:$L$45,Base_Consolidada!$C$2:$C$45,$A5,Base_Consolidada!$D$2:$D$45,$B5,Base_Consolidada!$H$2:$H$45,F1)</f>
        <v>5</v>
      </c>
      <c r="G5" s="4" t="n">
        <f aca="false">SUM(C5:F5)</f>
        <v>57</v>
      </c>
    </row>
    <row r="6" customFormat="false" ht="15" hidden="false" customHeight="false" outlineLevel="0" collapsed="false">
      <c r="A6" s="4" t="s">
        <v>15</v>
      </c>
      <c r="B6" s="4" t="s">
        <v>70</v>
      </c>
      <c r="C6" s="4" t="n">
        <f aca="false">SUMIFS(Base_Consolidada!$L$2:$L$45,Base_Consolidada!$C$2:$C$45,$A6,Base_Consolidada!$D$2:$D$45,$B6,Base_Consolidada!$H$2:$H$45,C1)</f>
        <v>25</v>
      </c>
      <c r="D6" s="4" t="n">
        <f aca="false">SUMIFS(Base_Consolidada!$L$2:$L$45,Base_Consolidada!$C$2:$C$45,$A6,Base_Consolidada!$D$2:$D$45,$B6,Base_Consolidada!$H$2:$H$45,D1)</f>
        <v>17</v>
      </c>
      <c r="E6" s="4" t="n">
        <f aca="false">SUMIFS(Base_Consolidada!$L$2:$L$45,Base_Consolidada!$C$2:$C$45,$A6,Base_Consolidada!$D$2:$D$45,$B6,Base_Consolidada!$H$2:$H$45,E1)</f>
        <v>10</v>
      </c>
      <c r="F6" s="4" t="n">
        <f aca="false">SUMIFS(Base_Consolidada!$L$2:$L$45,Base_Consolidada!$C$2:$C$45,$A6,Base_Consolidada!$D$2:$D$45,$B6,Base_Consolidada!$H$2:$H$45,F1)</f>
        <v>5</v>
      </c>
      <c r="G6" s="4" t="n">
        <f aca="false">SUM(C6:F6)</f>
        <v>57</v>
      </c>
    </row>
    <row r="7" customFormat="false" ht="15" hidden="false" customHeight="false" outlineLevel="0" collapsed="false">
      <c r="A7" s="4" t="s">
        <v>36</v>
      </c>
      <c r="B7" s="4" t="s">
        <v>76</v>
      </c>
      <c r="C7" s="4" t="n">
        <f aca="false">SUMIFS(Base_Consolidada!$L$2:$L$45,Base_Consolidada!$C$2:$C$45,$A7,Base_Consolidada!$D$2:$D$45,$B7,Base_Consolidada!$H$2:$H$45,C1)</f>
        <v>120</v>
      </c>
      <c r="D7" s="4" t="n">
        <f aca="false">SUMIFS(Base_Consolidada!$L$2:$L$45,Base_Consolidada!$C$2:$C$45,$A7,Base_Consolidada!$D$2:$D$45,$B7,Base_Consolidada!$H$2:$H$45,D1)</f>
        <v>60</v>
      </c>
      <c r="E7" s="4" t="n">
        <f aca="false">SUMIFS(Base_Consolidada!$L$2:$L$45,Base_Consolidada!$C$2:$C$45,$A7,Base_Consolidada!$D$2:$D$45,$B7,Base_Consolidada!$H$2:$H$45,E1)</f>
        <v>60</v>
      </c>
      <c r="F7" s="4" t="n">
        <f aca="false">SUMIFS(Base_Consolidada!$L$2:$L$45,Base_Consolidada!$C$2:$C$45,$A7,Base_Consolidada!$D$2:$D$45,$B7,Base_Consolidada!$H$2:$H$45,F1)</f>
        <v>5</v>
      </c>
      <c r="G7" s="4" t="n">
        <f aca="false">SUM(C7:F7)</f>
        <v>245</v>
      </c>
    </row>
    <row r="8" customFormat="false" ht="15" hidden="false" customHeight="false" outlineLevel="0" collapsed="false">
      <c r="A8" s="5" t="s">
        <v>85</v>
      </c>
      <c r="B8" s="5"/>
      <c r="C8" s="5" t="n">
        <f aca="false">SUM(C2:C7)</f>
        <v>340</v>
      </c>
      <c r="D8" s="5" t="n">
        <f aca="false">SUM(D2:D7)</f>
        <v>193</v>
      </c>
      <c r="E8" s="5" t="n">
        <f aca="false">SUM(E2:E7)</f>
        <v>170</v>
      </c>
      <c r="F8" s="5" t="n">
        <f aca="false">SUM(F2:F7)</f>
        <v>15</v>
      </c>
      <c r="G8" s="5" t="n">
        <f aca="false">SUM(G2:G7)</f>
        <v>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70"/>
    <col collapsed="false" customWidth="true" hidden="false" outlineLevel="0" max="3" min="3" style="0" width="55"/>
  </cols>
  <sheetData>
    <row r="1" customFormat="false" ht="39.55" hidden="false" customHeight="false" outlineLevel="0" collapsed="false">
      <c r="A1" s="6" t="s">
        <v>86</v>
      </c>
      <c r="B1" s="7"/>
      <c r="C1" s="7"/>
    </row>
    <row r="2" customFormat="false" ht="15" hidden="false" customHeight="false" outlineLevel="0" collapsed="false">
      <c r="A2" s="7"/>
      <c r="B2" s="7"/>
      <c r="C2" s="7"/>
    </row>
    <row r="3" customFormat="false" ht="15" hidden="false" customHeight="false" outlineLevel="0" collapsed="false">
      <c r="A3" s="8" t="s">
        <v>87</v>
      </c>
      <c r="B3" s="8" t="s">
        <v>88</v>
      </c>
      <c r="C3" s="8" t="s">
        <v>89</v>
      </c>
    </row>
    <row r="4" customFormat="false" ht="35.05" hidden="false" customHeight="false" outlineLevel="0" collapsed="false">
      <c r="A4" s="7" t="s">
        <v>17</v>
      </c>
      <c r="B4" s="7" t="s">
        <v>90</v>
      </c>
      <c r="C4" s="7" t="s">
        <v>91</v>
      </c>
    </row>
    <row r="5" customFormat="false" ht="23.85" hidden="false" customHeight="false" outlineLevel="0" collapsed="false">
      <c r="A5" s="7" t="s">
        <v>60</v>
      </c>
      <c r="B5" s="7" t="s">
        <v>92</v>
      </c>
      <c r="C5" s="7" t="s">
        <v>93</v>
      </c>
    </row>
    <row r="6" customFormat="false" ht="23.85" hidden="false" customHeight="false" outlineLevel="0" collapsed="false">
      <c r="A6" s="7" t="s">
        <v>71</v>
      </c>
      <c r="B6" s="7" t="s">
        <v>94</v>
      </c>
      <c r="C6" s="7" t="s">
        <v>95</v>
      </c>
    </row>
    <row r="7" customFormat="false" ht="35.05" hidden="false" customHeight="false" outlineLevel="0" collapsed="false">
      <c r="A7" s="7" t="s">
        <v>77</v>
      </c>
      <c r="B7" s="7" t="s">
        <v>96</v>
      </c>
      <c r="C7" s="7" t="s">
        <v>97</v>
      </c>
    </row>
    <row r="8" customFormat="false" ht="15" hidden="false" customHeight="false" outlineLevel="0" collapsed="false">
      <c r="A8" s="7"/>
      <c r="B8" s="7"/>
      <c r="C8" s="7"/>
    </row>
    <row r="9" customFormat="false" ht="15" hidden="false" customHeight="false" outlineLevel="0" collapsed="false">
      <c r="A9" s="7" t="s">
        <v>98</v>
      </c>
      <c r="B9" s="7"/>
      <c r="C9" s="7"/>
    </row>
    <row r="10" customFormat="false" ht="68.65" hidden="false" customHeight="false" outlineLevel="0" collapsed="false">
      <c r="A10" s="7" t="s">
        <v>99</v>
      </c>
      <c r="B10" s="7"/>
      <c r="C10" s="7"/>
    </row>
    <row r="11" customFormat="false" ht="180.55" hidden="false" customHeight="false" outlineLevel="0" collapsed="false">
      <c r="A11" s="7" t="s">
        <v>100</v>
      </c>
      <c r="B11" s="7"/>
      <c r="C11" s="7"/>
    </row>
    <row r="12" customFormat="false" ht="46.25" hidden="false" customHeight="false" outlineLevel="0" collapsed="false">
      <c r="A12" s="7" t="s">
        <v>101</v>
      </c>
      <c r="B12" s="7"/>
      <c r="C12" s="7"/>
    </row>
    <row r="13" customFormat="false" ht="15" hidden="false" customHeight="false" outlineLevel="0" collapsed="false">
      <c r="A13" s="7"/>
      <c r="B13" s="7"/>
      <c r="C13" s="7"/>
    </row>
    <row r="14" customFormat="false" ht="23.85" hidden="false" customHeight="false" outlineLevel="0" collapsed="false">
      <c r="A14" s="7" t="s">
        <v>102</v>
      </c>
      <c r="B14" s="7"/>
      <c r="C1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2026-07-22T22:44:59Z</dcterms:created>
  <dc:creator>openpyxl</dc:creator>
  <dc:description/>
  <dc:language>en-US</dc:language>
  <cp:lastModifiedBy/>
  <dcterms:modified xsi:type="dcterms:W3CDTF">2026-07-22T22:54:47Z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